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_Lechero_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A2B3F"/>
        <bgColor rgb="002A2B3F"/>
      </patternFill>
    </fill>
    <fill>
      <patternFill patternType="solid">
        <fgColor rgb="00F8F9FC"/>
        <bgColor rgb="00F8F9FC"/>
      </patternFill>
    </fill>
  </fills>
  <borders count="2">
    <border>
      <left/>
      <right/>
      <top/>
      <bottom/>
      <diagonal/>
    </border>
    <border>
      <left style="thin">
        <color rgb="00D1D2E0"/>
      </left>
      <right style="thin">
        <color rgb="00D1D2E0"/>
      </right>
      <top style="thin">
        <color rgb="00D1D2E0"/>
      </top>
      <bottom style="thin">
        <color rgb="00D1D2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75" customWidth="1" min="1" max="1"/>
    <col width="22" customWidth="1" min="2" max="2"/>
    <col width="39" customWidth="1" min="3" max="3"/>
    <col width="53" customWidth="1" min="4" max="4"/>
    <col width="22" customWidth="1" min="5" max="5"/>
    <col width="22" customWidth="1" min="6" max="6"/>
    <col width="12" customWidth="1" min="7" max="7"/>
    <col width="14" customWidth="1" min="8" max="8"/>
    <col width="24" customWidth="1" min="9" max="9"/>
    <col width="39" customWidth="1" min="10" max="10"/>
  </cols>
  <sheetData>
    <row r="1">
      <c r="A1" t="inlineStr">
        <is>
          <t>DATAGAN 360 - PLANILLA OFICIAL DE CONTROL LECHERO INDIVIDUAL Y POR HATO</t>
        </is>
      </c>
    </row>
    <row r="2">
      <c r="A2" t="inlineStr">
        <is>
          <t>Fecha:</t>
        </is>
      </c>
      <c r="B2" t="inlineStr">
        <is>
          <t>2026-10-14</t>
        </is>
      </c>
      <c r="C2" t="inlineStr">
        <is>
          <t>Lote en Ordeño:</t>
        </is>
      </c>
      <c r="D2" t="inlineStr">
        <is>
          <t>LOT-01 (Alta Producción)</t>
        </is>
      </c>
      <c r="E2" t="inlineStr">
        <is>
          <t>Potrero Asignado:</t>
        </is>
      </c>
      <c r="F2" t="inlineStr">
        <is>
          <t>POT-01</t>
        </is>
      </c>
    </row>
    <row r="3"/>
    <row r="4">
      <c r="A4" s="1" t="inlineStr">
        <is>
          <t>Chapeta</t>
        </is>
      </c>
      <c r="B4" s="1" t="inlineStr">
        <is>
          <t>Nombre Vaca</t>
        </is>
      </c>
      <c r="C4" s="1" t="inlineStr">
        <is>
          <t>Días en Leche (DEL)</t>
        </is>
      </c>
      <c r="D4" s="1" t="inlineStr">
        <is>
          <t>Ordeño AM (Litros)</t>
        </is>
      </c>
      <c r="E4" s="1" t="inlineStr">
        <is>
          <t>Ordeño PM (Litros)</t>
        </is>
      </c>
      <c r="F4" s="1" t="inlineStr">
        <is>
          <t>Total Día (Litros)</t>
        </is>
      </c>
      <c r="G4" s="1" t="inlineStr">
        <is>
          <t>% Grasa</t>
        </is>
      </c>
      <c r="H4" s="1" t="inlineStr">
        <is>
          <t>% Proteína</t>
        </is>
      </c>
      <c r="I4" s="1" t="inlineStr">
        <is>
          <t>Calidad CMT (Ubre)</t>
        </is>
      </c>
      <c r="J4" s="1" t="inlineStr">
        <is>
          <t>Observaciones de Manejo</t>
        </is>
      </c>
    </row>
    <row r="5">
      <c r="A5" s="2" t="inlineStr">
        <is>
          <t>VACA-01</t>
        </is>
      </c>
      <c r="B5" s="2" t="inlineStr">
        <is>
          <t>Mariposa Girolando</t>
        </is>
      </c>
      <c r="C5" s="2" t="n">
        <v>65</v>
      </c>
      <c r="D5" s="2" t="n">
        <v>12.5</v>
      </c>
      <c r="E5" s="2" t="n">
        <v>9.5</v>
      </c>
      <c r="F5" s="2">
        <f>D5+E5</f>
        <v/>
      </c>
      <c r="G5" s="2" t="n">
        <v>3.85</v>
      </c>
      <c r="H5" s="2" t="n">
        <v>3.2</v>
      </c>
      <c r="I5" s="2" t="inlineStr">
        <is>
          <t>Negativo (Sana)</t>
        </is>
      </c>
      <c r="J5" s="2" t="inlineStr">
        <is>
          <t>Excelente pico de lactancia</t>
        </is>
      </c>
    </row>
    <row r="6">
      <c r="A6" s="3" t="inlineStr">
        <is>
          <t>VACA-02</t>
        </is>
      </c>
      <c r="B6" s="3" t="inlineStr">
        <is>
          <t>Esperanza F1</t>
        </is>
      </c>
      <c r="C6" s="3" t="n">
        <v>110</v>
      </c>
      <c r="D6" s="3" t="n">
        <v>10</v>
      </c>
      <c r="E6" s="3" t="n">
        <v>7.5</v>
      </c>
      <c r="F6" s="3">
        <f>D6+E6</f>
        <v/>
      </c>
      <c r="G6" s="3" t="n">
        <v>4.1</v>
      </c>
      <c r="H6" s="3" t="n">
        <v>3.35</v>
      </c>
      <c r="I6" s="3" t="inlineStr">
        <is>
          <t>Negativo (Sana)</t>
        </is>
      </c>
      <c r="J6" s="3" t="inlineStr">
        <is>
          <t>Consumo normal</t>
        </is>
      </c>
    </row>
    <row r="7">
      <c r="A7" s="2" t="inlineStr">
        <is>
          <t>VACA-03</t>
        </is>
      </c>
      <c r="B7" s="2" t="inlineStr">
        <is>
          <t>Paloma</t>
        </is>
      </c>
      <c r="C7" s="2" t="n">
        <v>45</v>
      </c>
      <c r="D7" s="2" t="n">
        <v>14</v>
      </c>
      <c r="E7" s="2" t="n">
        <v>11</v>
      </c>
      <c r="F7" s="2">
        <f>D7+E7</f>
        <v/>
      </c>
      <c r="G7" s="2" t="n">
        <v>3.7</v>
      </c>
      <c r="H7" s="2" t="n">
        <v>3.15</v>
      </c>
      <c r="I7" s="2" t="inlineStr">
        <is>
          <t>Negativo (Sana)</t>
        </is>
      </c>
      <c r="J7" s="2" t="inlineStr">
        <is>
          <t>Alta persistencia</t>
        </is>
      </c>
    </row>
    <row r="8">
      <c r="A8" s="3" t="inlineStr">
        <is>
          <t>VACA-04</t>
        </is>
      </c>
      <c r="B8" s="3" t="inlineStr">
        <is>
          <t>Canela</t>
        </is>
      </c>
      <c r="C8" s="3" t="n">
        <v>180</v>
      </c>
      <c r="D8" s="3" t="n">
        <v>8.5</v>
      </c>
      <c r="E8" s="3" t="n">
        <v>6</v>
      </c>
      <c r="F8" s="3">
        <f>D8+E8</f>
        <v/>
      </c>
      <c r="G8" s="3" t="n">
        <v>4.3</v>
      </c>
      <c r="H8" s="3" t="n">
        <v>3.45</v>
      </c>
      <c r="I8" s="3" t="inlineStr">
        <is>
          <t>Grado 1 (Monitorear)</t>
        </is>
      </c>
      <c r="J8" s="3" t="inlineStr">
        <is>
          <t>Tratamiento preventivo con sellador</t>
        </is>
      </c>
    </row>
    <row r="9">
      <c r="A9" s="2" t="inlineStr">
        <is>
          <t>VACA-05</t>
        </is>
      </c>
      <c r="B9" s="2" t="inlineStr">
        <is>
          <t>Baviera</t>
        </is>
      </c>
      <c r="C9" s="2" t="n">
        <v>210</v>
      </c>
      <c r="D9" s="2" t="n">
        <v>7</v>
      </c>
      <c r="E9" s="2" t="n">
        <v>5</v>
      </c>
      <c r="F9" s="2">
        <f>D9+E9</f>
        <v/>
      </c>
      <c r="G9" s="2" t="n">
        <v>4.4</v>
      </c>
      <c r="H9" s="2" t="n">
        <v>3.5</v>
      </c>
      <c r="I9" s="2" t="inlineStr">
        <is>
          <t>Negativo (Sana)</t>
        </is>
      </c>
      <c r="J9" s="2" t="inlineStr">
        <is>
          <t>Próxima a programación de secado</t>
        </is>
      </c>
    </row>
    <row r="10">
      <c r="A10" s="3" t="inlineStr">
        <is>
          <t>VACA-06</t>
        </is>
      </c>
      <c r="B10" s="3" t="inlineStr">
        <is>
          <t>Luna Llena</t>
        </is>
      </c>
      <c r="C10" s="3" t="n">
        <v>90</v>
      </c>
      <c r="D10" s="3" t="n">
        <v>11.5</v>
      </c>
      <c r="E10" s="3" t="n">
        <v>8.5</v>
      </c>
      <c r="F10" s="3">
        <f>D10+E10</f>
        <v/>
      </c>
      <c r="G10" s="3" t="n">
        <v>3.9</v>
      </c>
      <c r="H10" s="3" t="n">
        <v>3.25</v>
      </c>
      <c r="I10" s="3" t="inlineStr">
        <is>
          <t>Negativo (Sana)</t>
        </is>
      </c>
      <c r="J10" s="3" t="inlineStr">
        <is>
          <t>Inseminada el 01/10/2026</t>
        </is>
      </c>
    </row>
    <row r="11">
      <c r="A11" s="2" t="inlineStr">
        <is>
          <t>VACA-07</t>
        </is>
      </c>
      <c r="B11" s="2" t="inlineStr">
        <is>
          <t>Reina del Valle</t>
        </is>
      </c>
      <c r="C11" s="2" t="n">
        <v>130</v>
      </c>
      <c r="D11" s="2" t="n">
        <v>9.5</v>
      </c>
      <c r="E11" s="2" t="n">
        <v>7</v>
      </c>
      <c r="F11" s="2">
        <f>D11+E11</f>
        <v/>
      </c>
      <c r="G11" s="2" t="n">
        <v>4.05</v>
      </c>
      <c r="H11" s="2" t="n">
        <v>3.3</v>
      </c>
      <c r="I11" s="2" t="inlineStr">
        <is>
          <t>Negativo (Sana)</t>
        </is>
      </c>
      <c r="J11" s="2" t="inlineStr">
        <is>
          <t>Preñez confirmada por ecografía</t>
        </is>
      </c>
    </row>
    <row r="12"/>
    <row r="13">
      <c r="A13" s="1" t="inlineStr">
        <is>
          <t>MÉTRICA ZOOTÉCNICA RESUMEN</t>
        </is>
      </c>
      <c r="B13" s="1" t="inlineStr">
        <is>
          <t>VALOR CALCULADO</t>
        </is>
      </c>
      <c r="C13" s="1" t="inlineStr">
        <is>
          <t>BENCHMARK META</t>
        </is>
      </c>
      <c r="D13" s="1" t="inlineStr">
        <is>
          <t>INTERPRETACIÓN</t>
        </is>
      </c>
    </row>
    <row r="14">
      <c r="A14" s="3" t="inlineStr">
        <is>
          <t>Producción Total del Ordeño</t>
        </is>
      </c>
      <c r="B14" s="3">
        <f>SUM(F5:F11)</f>
        <v/>
      </c>
      <c r="C14" s="3" t="inlineStr">
        <is>
          <t>Tanque Frío</t>
        </is>
      </c>
      <c r="D14" s="3" t="inlineStr">
        <is>
          <t>Suma diaria acumulada para venta o transformación</t>
        </is>
      </c>
    </row>
    <row r="15">
      <c r="A15" s="2" t="inlineStr">
        <is>
          <t>Promedio Litros / Vaca / Día</t>
        </is>
      </c>
      <c r="B15" s="2">
        <f>AVERAGE(F5:F11)</f>
        <v/>
      </c>
      <c r="C15" s="2" t="inlineStr">
        <is>
          <t>&gt; 15.0 L/vaca (Doble Propósito &gt;8L)</t>
        </is>
      </c>
      <c r="D15" s="2" t="inlineStr">
        <is>
          <t>Métrica nuclear sincronizada en Dashboard DataGan</t>
        </is>
      </c>
    </row>
    <row r="16">
      <c r="A16" s="3" t="inlineStr">
        <is>
          <t>Total Vacas Ordeñadas</t>
        </is>
      </c>
      <c r="B16" s="3">
        <f>COUNTA(A5:A11)</f>
        <v/>
      </c>
      <c r="C16" s="3" t="inlineStr">
        <is>
          <t>100% Lote Activo</t>
        </is>
      </c>
      <c r="D16" s="3" t="inlineStr">
        <is>
          <t>Consistencia zootécnica</t>
        </is>
      </c>
    </row>
    <row r="17">
      <c r="A17" s="2" t="inlineStr">
        <is>
          <t>Porcentaje Promedio Grasa</t>
        </is>
      </c>
      <c r="B17" s="2">
        <f>AVERAGE(G5:G11)</f>
        <v/>
      </c>
      <c r="C17" s="2" t="inlineStr">
        <is>
          <t>3.80% - 4.20%</t>
        </is>
      </c>
      <c r="D17" s="2" t="inlineStr">
        <is>
          <t>Bonificación económica de la industria</t>
        </is>
      </c>
    </row>
    <row r="18">
      <c r="A18" s="3" t="inlineStr">
        <is>
          <t>Porcentaje Promedio Proteína</t>
        </is>
      </c>
      <c r="B18" s="3">
        <f>AVERAGE(H5:H11)</f>
        <v/>
      </c>
      <c r="C18" s="3" t="inlineStr">
        <is>
          <t>3.10% - 3.40%</t>
        </is>
      </c>
      <c r="D18" s="3" t="inlineStr">
        <is>
          <t>Rendimiento quesero y precio al productor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2026-10-14T17:53:47Z</dcterms:created>
  <dcterms:modified xmlns:dcterms="http://purl.org/dc/terms/" xmlns:xsi="http://www.w3.org/2001/XMLSchema-instance" xsi:type="dcterms:W3CDTF">2026-10-14T17:53:47Z</dcterms:modified>
</cp:coreProperties>
</file>