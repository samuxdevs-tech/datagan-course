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_Aforo_Prad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A2B3F"/>
        <bgColor rgb="002A2B3F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D1D2E0"/>
      </left>
      <right style="thin">
        <color rgb="00D1D2E0"/>
      </right>
      <top style="thin">
        <color rgb="00D1D2E0"/>
      </top>
      <bottom style="thin">
        <color rgb="00D1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2" customWidth="1" min="1" max="1"/>
    <col width="34" customWidth="1" min="2" max="2"/>
    <col width="36" customWidth="1" min="3" max="3"/>
    <col width="63" customWidth="1" min="4" max="4"/>
    <col width="24" customWidth="1" min="5" max="5"/>
    <col width="14" customWidth="1" min="6" max="6"/>
  </cols>
  <sheetData>
    <row r="1">
      <c r="A1" t="inlineStr">
        <is>
          <t>SISTEMA DE AFORO FORRAJERO DE PRADERAS POR MÉTODO DEL METRO CUADRADO (1m x 1m)</t>
        </is>
      </c>
    </row>
    <row r="2">
      <c r="A2" t="inlineStr">
        <is>
          <t>Predio:</t>
        </is>
      </c>
      <c r="B2" t="inlineStr">
        <is>
          <t>Hacienda La Esperanza</t>
        </is>
      </c>
      <c r="C2" t="inlineStr">
        <is>
          <t>Potrero Evaluado:</t>
        </is>
      </c>
      <c r="D2" t="inlineStr">
        <is>
          <t>POT-01 (El Mango)</t>
        </is>
      </c>
      <c r="E2" t="inlineStr">
        <is>
          <t>Fecha Muestreo:</t>
        </is>
      </c>
      <c r="F2" t="inlineStr">
        <is>
          <t>2026-10-14</t>
        </is>
      </c>
    </row>
    <row r="3"/>
    <row r="4">
      <c r="A4" s="1" t="inlineStr">
        <is>
          <t>Muestra No.</t>
        </is>
      </c>
      <c r="B4" s="1" t="inlineStr">
        <is>
          <t>Ubicación Muestreo</t>
        </is>
      </c>
      <c r="C4" s="1" t="inlineStr">
        <is>
          <t>Peso Verde en Marco 1m² (Gramos)</t>
        </is>
      </c>
      <c r="D4" s="1" t="inlineStr">
        <is>
          <t>Rendimiento Verde (Kg / m²)</t>
        </is>
      </c>
      <c r="E4" s="1" t="inlineStr">
        <is>
          <t>Condición del Pasto</t>
        </is>
      </c>
    </row>
    <row r="5">
      <c r="A5" s="2" t="n">
        <v>1</v>
      </c>
      <c r="B5" s="2" t="inlineStr">
        <is>
          <t>Zona Alta (Suelo Bien Drenado)</t>
        </is>
      </c>
      <c r="C5" s="2" t="n">
        <v>950</v>
      </c>
      <c r="D5" s="2">
        <f>C5/1000</f>
        <v/>
      </c>
      <c r="E5" s="2" t="inlineStr">
        <is>
          <t>Óptimo rebrote</t>
        </is>
      </c>
    </row>
    <row r="6">
      <c r="A6" s="3" t="n">
        <v>2</v>
      </c>
      <c r="B6" s="3" t="inlineStr">
        <is>
          <t>Zona Media</t>
        </is>
      </c>
      <c r="C6" s="3" t="n">
        <v>880</v>
      </c>
      <c r="D6" s="3">
        <f>C6/1000</f>
        <v/>
      </c>
      <c r="E6" s="3" t="inlineStr">
        <is>
          <t>Denso</t>
        </is>
      </c>
    </row>
    <row r="7">
      <c r="A7" s="2" t="n">
        <v>3</v>
      </c>
      <c r="B7" s="2" t="inlineStr">
        <is>
          <t>Zona Próxima a Bebedero</t>
        </is>
      </c>
      <c r="C7" s="2" t="n">
        <v>650</v>
      </c>
      <c r="D7" s="2">
        <f>C7/1000</f>
        <v/>
      </c>
      <c r="E7" s="2" t="inlineStr">
        <is>
          <t>Pisoteo ligero</t>
        </is>
      </c>
    </row>
    <row r="8">
      <c r="A8" s="3" t="n">
        <v>4</v>
      </c>
      <c r="B8" s="3" t="inlineStr">
        <is>
          <t>Zona Sombreada Silvopastoril</t>
        </is>
      </c>
      <c r="C8" s="3" t="n">
        <v>1100</v>
      </c>
      <c r="D8" s="3">
        <f>C8/1000</f>
        <v/>
      </c>
      <c r="E8" s="3" t="inlineStr">
        <is>
          <t>Alta biomasa</t>
        </is>
      </c>
    </row>
    <row r="9">
      <c r="A9" s="2" t="n">
        <v>5</v>
      </c>
      <c r="B9" s="2" t="inlineStr">
        <is>
          <t>Zona Central del Potrero</t>
        </is>
      </c>
      <c r="C9" s="2" t="n">
        <v>920</v>
      </c>
      <c r="D9" s="2">
        <f>C9/1000</f>
        <v/>
      </c>
      <c r="E9" s="2" t="inlineStr">
        <is>
          <t>Excelente cobertura</t>
        </is>
      </c>
    </row>
    <row r="10">
      <c r="A10" s="3" t="n">
        <v>6</v>
      </c>
      <c r="B10" s="3" t="inlineStr">
        <is>
          <t>Zona de Pendiente</t>
        </is>
      </c>
      <c r="C10" s="3" t="n">
        <v>740</v>
      </c>
      <c r="D10" s="3">
        <f>C10/1000</f>
        <v/>
      </c>
      <c r="E10" s="3" t="inlineStr">
        <is>
          <t>Media</t>
        </is>
      </c>
    </row>
    <row r="11">
      <c r="A11" s="2" t="n">
        <v>7</v>
      </c>
      <c r="B11" s="2" t="inlineStr">
        <is>
          <t>Zona Baja</t>
        </is>
      </c>
      <c r="C11" s="2" t="n">
        <v>1050</v>
      </c>
      <c r="D11" s="2">
        <f>C11/1000</f>
        <v/>
      </c>
      <c r="E11" s="2" t="inlineStr">
        <is>
          <t>Humedad adecuada</t>
        </is>
      </c>
    </row>
    <row r="12">
      <c r="A12" s="3" t="n">
        <v>8</v>
      </c>
      <c r="B12" s="3" t="inlineStr">
        <is>
          <t>Franja Perimetral</t>
        </is>
      </c>
      <c r="C12" s="3" t="n">
        <v>810</v>
      </c>
      <c r="D12" s="3">
        <f>C12/1000</f>
        <v/>
      </c>
      <c r="E12" s="3" t="inlineStr">
        <is>
          <t>Uniforme</t>
        </is>
      </c>
    </row>
    <row r="13">
      <c r="A13" s="2" t="n">
        <v>9</v>
      </c>
      <c r="B13" s="2" t="inlineStr">
        <is>
          <t>Zona Central 2</t>
        </is>
      </c>
      <c r="C13" s="2" t="n">
        <v>900</v>
      </c>
      <c r="D13" s="2">
        <f>C13/1000</f>
        <v/>
      </c>
      <c r="E13" s="2" t="inlineStr">
        <is>
          <t>Óptimo</t>
        </is>
      </c>
    </row>
    <row r="14">
      <c r="A14" s="3" t="n">
        <v>10</v>
      </c>
      <c r="B14" s="3" t="inlineStr">
        <is>
          <t>Zona de Entrada</t>
        </is>
      </c>
      <c r="C14" s="3" t="n">
        <v>600</v>
      </c>
      <c r="D14" s="3">
        <f>C14/1000</f>
        <v/>
      </c>
      <c r="E14" s="3" t="inlineStr">
        <is>
          <t>Desgaste de tránsito</t>
        </is>
      </c>
    </row>
    <row r="15"/>
    <row r="16">
      <c r="A16" s="1" t="inlineStr">
        <is>
          <t>PARÁMETRO CALCULADO</t>
        </is>
      </c>
      <c r="B16" s="1" t="inlineStr">
        <is>
          <t>VALOR</t>
        </is>
      </c>
      <c r="C16" s="1" t="inlineStr">
        <is>
          <t>UNIDAD</t>
        </is>
      </c>
      <c r="D16" s="1" t="inlineStr">
        <is>
          <t>INTERPRETACIÓN ZOOTÉCNICA</t>
        </is>
      </c>
    </row>
    <row r="17">
      <c r="A17" s="2" t="inlineStr">
        <is>
          <t>Promedio Ponderado Forraje Verde (FV)</t>
        </is>
      </c>
      <c r="B17" s="2">
        <f>PROMEDIO(D5:D14)</f>
        <v/>
      </c>
      <c r="C17" s="2" t="inlineStr">
        <is>
          <t>Kg FV / m²</t>
        </is>
      </c>
      <c r="D17" s="2" t="inlineStr">
        <is>
          <t>Producción media por cada metro cuadrado cortado a ras</t>
        </is>
      </c>
    </row>
    <row r="18">
      <c r="A18" s="3" t="inlineStr">
        <is>
          <t>Producción Bruta por Hectárea (10.000 m²)</t>
        </is>
      </c>
      <c r="B18" s="3">
        <f>B17*10000</f>
        <v/>
      </c>
      <c r="C18" s="3" t="inlineStr">
        <is>
          <t>Kg FV / Ha</t>
        </is>
      </c>
      <c r="D18" s="3" t="inlineStr">
        <is>
          <t>Oferta verde total sin descontar pisoteo ni rechazo</t>
        </is>
      </c>
    </row>
    <row r="19">
      <c r="A19" s="2" t="inlineStr">
        <is>
          <t>Factor de Pérdida por Pisoteo y Heces</t>
        </is>
      </c>
      <c r="B19" s="2" t="n">
        <v>0.25</v>
      </c>
      <c r="C19" s="2" t="inlineStr">
        <is>
          <t>% Pérdida</t>
        </is>
      </c>
      <c r="D19" s="2" t="inlineStr">
        <is>
          <t>25% estándar en pastoreo rotacional guiado</t>
        </is>
      </c>
    </row>
    <row r="20">
      <c r="A20" s="3" t="inlineStr">
        <is>
          <t>Forraje Verde Aprovechable Neto</t>
        </is>
      </c>
      <c r="B20" s="3">
        <f>B18*(1-B19)</f>
        <v/>
      </c>
      <c r="C20" s="3" t="inlineStr">
        <is>
          <t>Kg FV Aprovechable / Ha</t>
        </is>
      </c>
      <c r="D20" s="3" t="inlineStr">
        <is>
          <t>Biomasa realmente consumible por los animales</t>
        </is>
      </c>
    </row>
    <row r="21">
      <c r="A21" s="2" t="inlineStr">
        <is>
          <t>Porcentaje Estimado de Materia Seca (MS)</t>
        </is>
      </c>
      <c r="B21" s="2" t="n">
        <v>0.22</v>
      </c>
      <c r="C21" s="2" t="inlineStr">
        <is>
          <t>% Materia Seca</t>
        </is>
      </c>
      <c r="D21" s="2" t="inlineStr">
        <is>
          <t>22% típico en gramíneas tropicales maduras</t>
        </is>
      </c>
    </row>
    <row r="22">
      <c r="A22" s="3" t="inlineStr">
        <is>
          <t>Producción Neta de Materia Seca</t>
        </is>
      </c>
      <c r="B22" s="3">
        <f>B20*B21</f>
        <v/>
      </c>
      <c r="C22" s="3" t="inlineStr">
        <is>
          <t>Kg MS / Ha</t>
        </is>
      </c>
      <c r="D22" s="3" t="inlineStr">
        <is>
          <t>Energía y nutrientes netos disponibles para el hato</t>
        </is>
      </c>
    </row>
    <row r="23"/>
    <row r="24">
      <c r="A24" s="1" t="inlineStr">
        <is>
          <t>PLANIFICACIÓN DE CARGA ANIMAL Y ROTACIÓN SEGÚN LEYES DE VOISIN</t>
        </is>
      </c>
      <c r="B24" s="1" t="n"/>
      <c r="C24" s="1" t="n"/>
      <c r="D24" s="1" t="n"/>
    </row>
    <row r="25">
      <c r="A25" s="2" t="inlineStr">
        <is>
          <t>Área Total del Potrero</t>
        </is>
      </c>
      <c r="B25" s="2" t="n">
        <v>10</v>
      </c>
      <c r="C25" s="2" t="inlineStr">
        <is>
          <t>Hectáreas (Ha)</t>
        </is>
      </c>
      <c r="D25" s="2" t="inlineStr">
        <is>
          <t>Superficie útil medida con SIG</t>
        </is>
      </c>
    </row>
    <row r="26">
      <c r="A26" s="3" t="inlineStr">
        <is>
          <t>Oferta Neta Total en el Potrero</t>
        </is>
      </c>
      <c r="B26" s="3">
        <f>B20*B25</f>
        <v/>
      </c>
      <c r="C26" s="3" t="inlineStr">
        <is>
          <t>Kg Forraje Verde Neto</t>
        </is>
      </c>
      <c r="D26" s="3" t="inlineStr">
        <is>
          <t>Total de alimento disponible en el lote</t>
        </is>
      </c>
    </row>
    <row r="27">
      <c r="A27" s="2" t="inlineStr">
        <is>
          <t>Consumo Diario por 1 UGM (Bovino 450 Kg)</t>
        </is>
      </c>
      <c r="B27" s="2" t="n">
        <v>45</v>
      </c>
      <c r="C27" s="2" t="inlineStr">
        <is>
          <t>Kg FV / día</t>
        </is>
      </c>
      <c r="D27" s="2" t="inlineStr">
        <is>
          <t>Equivalente al 10% del peso vivo diario</t>
        </is>
      </c>
    </row>
    <row r="28">
      <c r="A28" s="3" t="inlineStr">
        <is>
          <t>Días de Ocupación Deseados</t>
        </is>
      </c>
      <c r="B28" s="3" t="n">
        <v>2</v>
      </c>
      <c r="C28" s="3" t="inlineStr">
        <is>
          <t>Días</t>
        </is>
      </c>
      <c r="D28" s="3" t="inlineStr">
        <is>
          <t>Máximo 2 a 3 días para evitar que el animal coma el rebrote</t>
        </is>
      </c>
    </row>
    <row r="29">
      <c r="A29" s="2" t="inlineStr">
        <is>
          <t>Capacidad de Carga Máxima Instantánea</t>
        </is>
      </c>
      <c r="B29" s="2">
        <f>INT(B26/(B27*B28))</f>
        <v/>
      </c>
      <c r="C29" s="2" t="inlineStr">
        <is>
          <t>Bovinos Adultos (UGM)</t>
        </is>
      </c>
      <c r="D29" s="2" t="inlineStr">
        <is>
          <t>Número óptimo de animales a introducir sin degradar pasto</t>
        </is>
      </c>
    </row>
    <row r="30">
      <c r="A30" s="3" t="inlineStr">
        <is>
          <t>Carga Animal por Hectárea</t>
        </is>
      </c>
      <c r="B30" s="3">
        <f>B29/B25</f>
        <v/>
      </c>
      <c r="C30" s="3" t="inlineStr">
        <is>
          <t>UGM / Ha</t>
        </is>
      </c>
      <c r="D30" s="3" t="inlineStr">
        <is>
          <t>Métrica clave registrada en DataGan 360</t>
        </is>
      </c>
    </row>
    <row r="31">
      <c r="A31" s="2" t="inlineStr">
        <is>
          <t>Periodo de Descanso Requerido</t>
        </is>
      </c>
      <c r="B31" s="2" t="n">
        <v>35</v>
      </c>
      <c r="C31" s="2" t="inlineStr">
        <is>
          <t>Días de Reposo</t>
        </is>
      </c>
      <c r="D31" s="2" t="inlineStr">
        <is>
          <t>Días para alcanzar el punto óptimo de reposo (POR)</t>
        </is>
      </c>
    </row>
    <row r="32">
      <c r="A32" s="3" t="inlineStr">
        <is>
          <t>Número Mínimo de Potreros para el Ciclo</t>
        </is>
      </c>
      <c r="B32" s="3">
        <f>(B31/B28)+1</f>
        <v/>
      </c>
      <c r="C32" s="3" t="inlineStr">
        <is>
          <t>Potreros Requeridos</t>
        </is>
      </c>
      <c r="D32" s="3" t="inlineStr">
        <is>
          <t>Fórmula de Voisin: (Descanso / Ocupación)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2026-10-14T17:53:47Z</dcterms:created>
  <dcterms:modified xmlns:dcterms="http://purl.org/dc/terms/" xmlns:xsi="http://www.w3.org/2001/XMLSchema-instance" xsi:type="dcterms:W3CDTF">2026-10-14T17:53:47Z</dcterms:modified>
</cp:coreProperties>
</file>